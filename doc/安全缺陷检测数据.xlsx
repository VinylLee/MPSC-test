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毕业设计\实验数据\"/>
    </mc:Choice>
  </mc:AlternateContent>
  <xr:revisionPtr revIDLastSave="0" documentId="13_ncr:1_{A571D5DB-F24A-48EE-90D2-6044E9976926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3" i="1"/>
  <c r="H42" i="1"/>
  <c r="H41" i="1"/>
  <c r="H40" i="1"/>
  <c r="H39" i="1"/>
  <c r="H38" i="1"/>
  <c r="G37" i="1"/>
  <c r="D43" i="1"/>
  <c r="G38" i="1"/>
  <c r="G39" i="1" s="1"/>
  <c r="G40" i="1" s="1"/>
  <c r="G41" i="1" s="1"/>
  <c r="G42" i="1" s="1"/>
  <c r="G43" i="1" s="1"/>
  <c r="G44" i="1" s="1"/>
  <c r="G45" i="1" s="1"/>
  <c r="D38" i="1"/>
  <c r="E38" i="1"/>
  <c r="D39" i="1"/>
  <c r="E39" i="1"/>
  <c r="D40" i="1"/>
  <c r="E40" i="1"/>
  <c r="D41" i="1"/>
  <c r="E41" i="1"/>
  <c r="E37" i="1"/>
  <c r="D42" i="1"/>
  <c r="D37" i="1"/>
  <c r="E35" i="1"/>
  <c r="E31" i="1"/>
  <c r="E32" i="1"/>
  <c r="E33" i="1"/>
  <c r="E34" i="1"/>
  <c r="E30" i="1"/>
</calcChain>
</file>

<file path=xl/sharedStrings.xml><?xml version="1.0" encoding="utf-8"?>
<sst xmlns="http://schemas.openxmlformats.org/spreadsheetml/2006/main" count="41" uniqueCount="16">
  <si>
    <t>安全缺陷类型</t>
    <phoneticPr fontId="1" type="noConversion"/>
  </si>
  <si>
    <t>实验对象</t>
    <phoneticPr fontId="1" type="noConversion"/>
  </si>
  <si>
    <t>METBSF</t>
    <phoneticPr fontId="1" type="noConversion"/>
  </si>
  <si>
    <t>VDMBSCMT</t>
    <phoneticPr fontId="1" type="noConversion"/>
  </si>
  <si>
    <t>Solhint</t>
    <phoneticPr fontId="1" type="noConversion"/>
  </si>
  <si>
    <t>Slither</t>
    <phoneticPr fontId="1" type="noConversion"/>
  </si>
  <si>
    <t>MyToken</t>
  </si>
  <si>
    <t>Rubixi</t>
  </si>
  <si>
    <t>BecToken</t>
    <phoneticPr fontId="1" type="noConversion"/>
  </si>
  <si>
    <t>GnosisSafeProxy</t>
    <phoneticPr fontId="1" type="noConversion"/>
  </si>
  <si>
    <t>PERSONAL_BANK</t>
    <phoneticPr fontId="1" type="noConversion"/>
  </si>
  <si>
    <t>不正确的编译器版本</t>
    <phoneticPr fontId="1" type="noConversion"/>
  </si>
  <si>
    <t>整性溢出</t>
    <phoneticPr fontId="1" type="noConversion"/>
  </si>
  <si>
    <t>冲入漏洞</t>
    <phoneticPr fontId="1" type="noConversion"/>
  </si>
  <si>
    <t>访问控制漏洞</t>
    <phoneticPr fontId="1" type="noConversion"/>
  </si>
  <si>
    <t>段地址攻击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</si>
</sst>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I36" sqref="I36:I44"/>
    </sheetView>
  </sheetViews>
  <sheetFormatPr defaultRowHeight="13.8" x14ac:dyDescent="0.25"/>
  <cols>
    <col min="1" max="1" width="21.33203125" bestFit="1" customWidth="1"/>
    <col min="2" max="2" width="18.33203125" bestFit="1" customWidth="1"/>
    <col min="4" max="4" width="12.66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4" x14ac:dyDescent="0.25">
      <c r="A2" s="2" t="s">
        <v>11</v>
      </c>
      <c r="B2" s="1" t="s">
        <v>6</v>
      </c>
      <c r="C2">
        <v>1</v>
      </c>
      <c r="D2">
        <v>0</v>
      </c>
      <c r="E2">
        <v>1</v>
      </c>
      <c r="F2">
        <v>1</v>
      </c>
    </row>
    <row r="3" spans="1:6" ht="14.4" x14ac:dyDescent="0.25">
      <c r="A3" s="2"/>
      <c r="B3" s="1" t="s">
        <v>7</v>
      </c>
      <c r="C3">
        <v>1</v>
      </c>
      <c r="D3">
        <v>0</v>
      </c>
      <c r="E3">
        <v>0</v>
      </c>
      <c r="F3">
        <v>0</v>
      </c>
    </row>
    <row r="4" spans="1:6" x14ac:dyDescent="0.25">
      <c r="A4" s="2"/>
      <c r="B4" t="s">
        <v>8</v>
      </c>
      <c r="C4">
        <v>1</v>
      </c>
      <c r="D4">
        <v>0</v>
      </c>
      <c r="E4">
        <v>1</v>
      </c>
      <c r="F4">
        <v>1</v>
      </c>
    </row>
    <row r="5" spans="1:6" x14ac:dyDescent="0.25">
      <c r="A5" s="2"/>
      <c r="B5" t="s">
        <v>9</v>
      </c>
      <c r="C5">
        <v>1</v>
      </c>
      <c r="D5">
        <v>0</v>
      </c>
      <c r="E5">
        <v>1</v>
      </c>
      <c r="F5">
        <v>0</v>
      </c>
    </row>
    <row r="6" spans="1:6" x14ac:dyDescent="0.25">
      <c r="A6" s="2"/>
      <c r="B6" t="s">
        <v>10</v>
      </c>
      <c r="C6">
        <v>1</v>
      </c>
      <c r="D6">
        <v>0</v>
      </c>
      <c r="E6">
        <v>1</v>
      </c>
      <c r="F6">
        <v>1</v>
      </c>
    </row>
    <row r="7" spans="1:6" ht="14.4" x14ac:dyDescent="0.25">
      <c r="A7" t="s">
        <v>12</v>
      </c>
      <c r="B7" s="1" t="s">
        <v>6</v>
      </c>
      <c r="C7">
        <v>0</v>
      </c>
      <c r="D7">
        <v>0</v>
      </c>
      <c r="E7">
        <v>0</v>
      </c>
      <c r="F7">
        <v>0</v>
      </c>
    </row>
    <row r="8" spans="1:6" ht="14.4" x14ac:dyDescent="0.25">
      <c r="B8" s="1" t="s">
        <v>7</v>
      </c>
      <c r="C8">
        <v>0</v>
      </c>
      <c r="D8">
        <v>0</v>
      </c>
      <c r="E8">
        <v>0</v>
      </c>
      <c r="F8">
        <v>1</v>
      </c>
    </row>
    <row r="9" spans="1:6" x14ac:dyDescent="0.25">
      <c r="B9" t="s">
        <v>8</v>
      </c>
      <c r="C9">
        <v>1</v>
      </c>
      <c r="D9">
        <v>1</v>
      </c>
      <c r="E9">
        <v>0</v>
      </c>
      <c r="F9">
        <v>0</v>
      </c>
    </row>
    <row r="10" spans="1:6" x14ac:dyDescent="0.25">
      <c r="B10" t="s">
        <v>9</v>
      </c>
      <c r="C10">
        <v>0</v>
      </c>
      <c r="D10">
        <v>0</v>
      </c>
      <c r="E10">
        <v>0</v>
      </c>
      <c r="F10">
        <v>0</v>
      </c>
    </row>
    <row r="11" spans="1:6" x14ac:dyDescent="0.25">
      <c r="B11" t="s">
        <v>10</v>
      </c>
      <c r="C11">
        <v>0</v>
      </c>
      <c r="D11">
        <v>0</v>
      </c>
      <c r="E11">
        <v>0</v>
      </c>
      <c r="F11">
        <v>0</v>
      </c>
    </row>
    <row r="12" spans="1:6" ht="14.4" x14ac:dyDescent="0.25">
      <c r="A12" t="s">
        <v>13</v>
      </c>
      <c r="B12" s="1" t="s">
        <v>6</v>
      </c>
      <c r="C12">
        <v>0</v>
      </c>
      <c r="D12">
        <v>0</v>
      </c>
      <c r="E12">
        <v>0</v>
      </c>
      <c r="F12">
        <v>0</v>
      </c>
    </row>
    <row r="13" spans="1:6" ht="14.4" x14ac:dyDescent="0.25">
      <c r="B13" s="1" t="s">
        <v>7</v>
      </c>
      <c r="C13">
        <v>0</v>
      </c>
      <c r="D13">
        <v>0</v>
      </c>
      <c r="E13">
        <v>0</v>
      </c>
      <c r="F13">
        <v>0</v>
      </c>
    </row>
    <row r="14" spans="1:6" x14ac:dyDescent="0.25">
      <c r="B14" t="s">
        <v>8</v>
      </c>
      <c r="C14">
        <v>0</v>
      </c>
      <c r="D14">
        <v>0</v>
      </c>
      <c r="E14">
        <v>0</v>
      </c>
      <c r="F14">
        <v>0</v>
      </c>
    </row>
    <row r="15" spans="1:6" x14ac:dyDescent="0.25">
      <c r="B15" t="s">
        <v>9</v>
      </c>
      <c r="C15">
        <v>0</v>
      </c>
      <c r="D15">
        <v>0</v>
      </c>
      <c r="E15">
        <v>0</v>
      </c>
      <c r="F15">
        <v>0</v>
      </c>
    </row>
    <row r="16" spans="1:6" x14ac:dyDescent="0.25">
      <c r="B16" t="s">
        <v>10</v>
      </c>
      <c r="C16">
        <v>0</v>
      </c>
      <c r="D16">
        <v>1</v>
      </c>
      <c r="E16">
        <v>0</v>
      </c>
      <c r="F16">
        <v>1</v>
      </c>
    </row>
    <row r="17" spans="1:6" ht="14.4" x14ac:dyDescent="0.25">
      <c r="A17" t="s">
        <v>14</v>
      </c>
      <c r="B17" s="1" t="s">
        <v>6</v>
      </c>
      <c r="C17">
        <v>0</v>
      </c>
      <c r="D17">
        <v>0</v>
      </c>
      <c r="E17">
        <v>0</v>
      </c>
      <c r="F17">
        <v>0</v>
      </c>
    </row>
    <row r="18" spans="1:6" ht="14.4" x14ac:dyDescent="0.25">
      <c r="B18" s="1" t="s">
        <v>7</v>
      </c>
      <c r="C18">
        <v>1</v>
      </c>
      <c r="D18">
        <v>0</v>
      </c>
      <c r="E18">
        <v>0</v>
      </c>
      <c r="F18">
        <v>0</v>
      </c>
    </row>
    <row r="19" spans="1:6" x14ac:dyDescent="0.25">
      <c r="B19" t="s">
        <v>8</v>
      </c>
      <c r="C19">
        <v>0</v>
      </c>
      <c r="D19">
        <v>0</v>
      </c>
      <c r="E19">
        <v>0</v>
      </c>
      <c r="F19">
        <v>0</v>
      </c>
    </row>
    <row r="20" spans="1:6" x14ac:dyDescent="0.25">
      <c r="B20" t="s">
        <v>9</v>
      </c>
      <c r="C20">
        <v>1</v>
      </c>
      <c r="D20">
        <v>0</v>
      </c>
      <c r="E20">
        <v>0</v>
      </c>
      <c r="F20">
        <v>0</v>
      </c>
    </row>
    <row r="21" spans="1:6" x14ac:dyDescent="0.25">
      <c r="B21" t="s">
        <v>10</v>
      </c>
      <c r="C21">
        <v>0</v>
      </c>
      <c r="D21">
        <v>0</v>
      </c>
      <c r="E21">
        <v>0</v>
      </c>
      <c r="F21">
        <v>0</v>
      </c>
    </row>
    <row r="22" spans="1:6" ht="14.4" x14ac:dyDescent="0.25">
      <c r="A22" t="s">
        <v>15</v>
      </c>
      <c r="B22" s="1" t="s">
        <v>6</v>
      </c>
      <c r="C22">
        <v>1</v>
      </c>
    </row>
    <row r="23" spans="1:6" ht="14.4" x14ac:dyDescent="0.25">
      <c r="B23" s="1" t="s">
        <v>7</v>
      </c>
      <c r="C23">
        <v>0</v>
      </c>
    </row>
    <row r="24" spans="1:6" x14ac:dyDescent="0.25">
      <c r="B24" t="s">
        <v>8</v>
      </c>
      <c r="C24">
        <v>0</v>
      </c>
    </row>
    <row r="25" spans="1:6" x14ac:dyDescent="0.25">
      <c r="B25" t="s">
        <v>9</v>
      </c>
      <c r="C25">
        <v>0</v>
      </c>
    </row>
    <row r="26" spans="1:6" x14ac:dyDescent="0.25">
      <c r="B26" t="s">
        <v>10</v>
      </c>
      <c r="C26">
        <v>0</v>
      </c>
    </row>
    <row r="30" spans="1:6" ht="14.4" x14ac:dyDescent="0.25">
      <c r="B30" s="1" t="s">
        <v>6</v>
      </c>
      <c r="C30">
        <v>2</v>
      </c>
      <c r="D30">
        <v>79.72</v>
      </c>
      <c r="E30">
        <f>D30*C30</f>
        <v>159.44</v>
      </c>
    </row>
    <row r="31" spans="1:6" ht="14.4" x14ac:dyDescent="0.25">
      <c r="B31" s="1" t="s">
        <v>7</v>
      </c>
      <c r="C31">
        <v>2</v>
      </c>
      <c r="D31">
        <v>201.3</v>
      </c>
      <c r="E31">
        <f t="shared" ref="E31:E34" si="0">D31*C31</f>
        <v>402.6</v>
      </c>
    </row>
    <row r="32" spans="1:6" x14ac:dyDescent="0.25">
      <c r="B32" t="s">
        <v>8</v>
      </c>
      <c r="C32">
        <v>2</v>
      </c>
      <c r="D32">
        <v>383.68</v>
      </c>
      <c r="E32">
        <f t="shared" si="0"/>
        <v>767.36</v>
      </c>
    </row>
    <row r="33" spans="2:9" x14ac:dyDescent="0.25">
      <c r="B33" t="s">
        <v>9</v>
      </c>
      <c r="C33">
        <v>2</v>
      </c>
      <c r="D33">
        <v>252.34</v>
      </c>
      <c r="E33">
        <f t="shared" si="0"/>
        <v>504.68</v>
      </c>
    </row>
    <row r="34" spans="2:9" x14ac:dyDescent="0.25">
      <c r="B34" t="s">
        <v>10</v>
      </c>
      <c r="C34">
        <v>1</v>
      </c>
      <c r="D34">
        <v>92.54</v>
      </c>
      <c r="E34">
        <f t="shared" si="0"/>
        <v>92.54</v>
      </c>
    </row>
    <row r="35" spans="2:9" x14ac:dyDescent="0.25">
      <c r="E35">
        <f>SUM(E30:E34)</f>
        <v>1926.6200000000001</v>
      </c>
    </row>
    <row r="36" spans="2:9" x14ac:dyDescent="0.25">
      <c r="G36">
        <v>1.3286666666666667</v>
      </c>
      <c r="H36">
        <v>1.3286666666666667</v>
      </c>
      <c r="I36">
        <v>1</v>
      </c>
    </row>
    <row r="37" spans="2:9" x14ac:dyDescent="0.25">
      <c r="D37">
        <f>D30/60</f>
        <v>1.3286666666666667</v>
      </c>
      <c r="E37">
        <f>E30/60</f>
        <v>2.6573333333333333</v>
      </c>
      <c r="G37">
        <f>G30/60</f>
        <v>0</v>
      </c>
      <c r="H37">
        <v>2.6573333333333333</v>
      </c>
      <c r="I37">
        <v>2</v>
      </c>
    </row>
    <row r="38" spans="2:9" x14ac:dyDescent="0.25">
      <c r="D38">
        <f t="shared" ref="D38:E38" si="1">D31/60</f>
        <v>3.355</v>
      </c>
      <c r="E38">
        <f t="shared" si="1"/>
        <v>6.71</v>
      </c>
      <c r="G38">
        <f>G37+D38</f>
        <v>3.355</v>
      </c>
      <c r="H38">
        <f>H37+G38</f>
        <v>6.0123333333333333</v>
      </c>
      <c r="I38">
        <v>3</v>
      </c>
    </row>
    <row r="39" spans="2:9" x14ac:dyDescent="0.25">
      <c r="D39">
        <f t="shared" ref="D39:E39" si="2">D32/60</f>
        <v>6.3946666666666667</v>
      </c>
      <c r="E39">
        <f t="shared" si="2"/>
        <v>12.789333333333333</v>
      </c>
      <c r="G39">
        <f>G38+E38</f>
        <v>10.065</v>
      </c>
      <c r="H39">
        <f>H37+E38</f>
        <v>9.3673333333333328</v>
      </c>
      <c r="I39">
        <v>4</v>
      </c>
    </row>
    <row r="40" spans="2:9" x14ac:dyDescent="0.25">
      <c r="D40">
        <f t="shared" ref="D40:E40" si="3">D33/60</f>
        <v>4.2056666666666667</v>
      </c>
      <c r="E40">
        <f t="shared" si="3"/>
        <v>8.4113333333333333</v>
      </c>
      <c r="G40">
        <f>G39+D39</f>
        <v>16.459666666666667</v>
      </c>
      <c r="H40">
        <f>H39+D39</f>
        <v>15.762</v>
      </c>
      <c r="I40">
        <v>5</v>
      </c>
    </row>
    <row r="41" spans="2:9" x14ac:dyDescent="0.25">
      <c r="D41">
        <f t="shared" ref="D41:E41" si="4">D34/60</f>
        <v>1.5423333333333333</v>
      </c>
      <c r="E41">
        <f t="shared" si="4"/>
        <v>1.5423333333333333</v>
      </c>
      <c r="G41">
        <f>G40+E39</f>
        <v>29.249000000000002</v>
      </c>
      <c r="H41">
        <f>H39+E39</f>
        <v>22.156666666666666</v>
      </c>
      <c r="I41">
        <v>6</v>
      </c>
    </row>
    <row r="42" spans="2:9" x14ac:dyDescent="0.25">
      <c r="D42">
        <f t="shared" ref="D38:D42" si="5">D35/60</f>
        <v>0</v>
      </c>
      <c r="G42">
        <f>G41+D40</f>
        <v>33.454666666666668</v>
      </c>
      <c r="H42">
        <f>H41+D40</f>
        <v>26.362333333333332</v>
      </c>
      <c r="I42">
        <v>7</v>
      </c>
    </row>
    <row r="43" spans="2:9" x14ac:dyDescent="0.25">
      <c r="D43">
        <f>SUM(D37:E41)</f>
        <v>48.93666666666666</v>
      </c>
      <c r="G43">
        <f>G42+E40</f>
        <v>41.866</v>
      </c>
      <c r="H43">
        <f>H41+E40</f>
        <v>30.567999999999998</v>
      </c>
      <c r="I43">
        <v>8</v>
      </c>
    </row>
    <row r="44" spans="2:9" x14ac:dyDescent="0.25">
      <c r="G44">
        <f>G43+D41</f>
        <v>43.408333333333331</v>
      </c>
      <c r="H44">
        <f>H43+D41</f>
        <v>32.11033333333333</v>
      </c>
      <c r="I44">
        <v>9</v>
      </c>
    </row>
    <row r="45" spans="2:9" x14ac:dyDescent="0.25">
      <c r="G45">
        <f>G44+E41</f>
        <v>44.950666666666663</v>
      </c>
    </row>
  </sheetData>
  <mergeCells count="1">
    <mergeCell ref="A2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A8789</cp:lastModifiedBy>
  <dcterms:created xsi:type="dcterms:W3CDTF">2015-06-05T18:19:34Z</dcterms:created>
  <dcterms:modified xsi:type="dcterms:W3CDTF">2024-03-14T17:21:00Z</dcterms:modified>
</cp:coreProperties>
</file>