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毕业设计\实验数据\"/>
    </mc:Choice>
  </mc:AlternateContent>
  <xr:revisionPtr revIDLastSave="0" documentId="13_ncr:1_{4ADD3802-8AA9-471F-AA9A-84CFC3198F99}" xr6:coauthVersionLast="47" xr6:coauthVersionMax="47" xr10:uidLastSave="{00000000-0000-0000-0000-000000000000}"/>
  <bookViews>
    <workbookView xWindow="3828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" i="1" l="1"/>
  <c r="F10" i="1"/>
  <c r="F11" i="1"/>
  <c r="F12" i="1"/>
  <c r="F13" i="1"/>
  <c r="F8" i="1"/>
  <c r="B15" i="1"/>
  <c r="B14" i="1"/>
  <c r="D13" i="1"/>
  <c r="D12" i="1"/>
  <c r="D11" i="1"/>
  <c r="D10" i="1"/>
  <c r="D9" i="1"/>
  <c r="L5" i="1"/>
  <c r="K5" i="1"/>
  <c r="L4" i="1"/>
</calcChain>
</file>

<file path=xl/sharedStrings.xml><?xml version="1.0" encoding="utf-8"?>
<sst xmlns="http://schemas.openxmlformats.org/spreadsheetml/2006/main" count="15" uniqueCount="14">
  <si>
    <t>BecToken</t>
    <phoneticPr fontId="1" type="noConversion"/>
  </si>
  <si>
    <t>slither</t>
    <phoneticPr fontId="1" type="noConversion"/>
  </si>
  <si>
    <t>MyToken</t>
    <phoneticPr fontId="1" type="noConversion"/>
  </si>
  <si>
    <t>SafeProxy</t>
    <phoneticPr fontId="1" type="noConversion"/>
  </si>
  <si>
    <t>zong</t>
    <phoneticPr fontId="1" type="noConversion"/>
  </si>
  <si>
    <t>s</t>
    <phoneticPr fontId="1" type="noConversion"/>
  </si>
  <si>
    <t>单位</t>
    <phoneticPr fontId="1" type="noConversion"/>
  </si>
  <si>
    <t>solhint</t>
    <phoneticPr fontId="1" type="noConversion"/>
  </si>
  <si>
    <t>5.32</t>
    <phoneticPr fontId="1" type="noConversion"/>
  </si>
  <si>
    <t>3.75</t>
    <phoneticPr fontId="1" type="noConversion"/>
  </si>
  <si>
    <t>VDMBSCMT</t>
    <phoneticPr fontId="1" type="noConversion"/>
  </si>
  <si>
    <t>METBSD</t>
    <phoneticPr fontId="1" type="noConversion"/>
  </si>
  <si>
    <t>1926.62</t>
    <phoneticPr fontId="1" type="noConversion"/>
  </si>
  <si>
    <t>1487.53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</si>
</sst>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7" fontId="0" fillId="0" borderId="0" xfId="0" applyNumberFormat="1"/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5"/>
  <sheetViews>
    <sheetView tabSelected="1" workbookViewId="0">
      <selection activeCell="E8" sqref="E8:E13"/>
    </sheetView>
  </sheetViews>
  <sheetFormatPr defaultRowHeight="13.8" x14ac:dyDescent="0.25"/>
  <cols>
    <col min="2" max="2" width="10.44140625" bestFit="1" customWidth="1"/>
  </cols>
  <sheetData>
    <row r="1" spans="1:12" x14ac:dyDescent="0.25">
      <c r="B1" t="s">
        <v>0</v>
      </c>
      <c r="C1" t="s">
        <v>2</v>
      </c>
      <c r="D1" t="s">
        <v>3</v>
      </c>
      <c r="G1" t="s">
        <v>4</v>
      </c>
      <c r="H1" t="s">
        <v>6</v>
      </c>
    </row>
    <row r="2" spans="1:12" x14ac:dyDescent="0.25">
      <c r="A2" t="s">
        <v>1</v>
      </c>
      <c r="B2" s="1">
        <v>1.7237268518518518E-4</v>
      </c>
      <c r="C2" s="1">
        <v>2.6387731481481482E-4</v>
      </c>
      <c r="G2" s="2" t="s">
        <v>8</v>
      </c>
      <c r="H2" t="s">
        <v>5</v>
      </c>
      <c r="I2">
        <v>5</v>
      </c>
    </row>
    <row r="3" spans="1:12" x14ac:dyDescent="0.25">
      <c r="A3" t="s">
        <v>7</v>
      </c>
      <c r="G3" s="2" t="s">
        <v>9</v>
      </c>
      <c r="I3">
        <v>4</v>
      </c>
      <c r="K3">
        <v>13</v>
      </c>
      <c r="L3">
        <v>17</v>
      </c>
    </row>
    <row r="4" spans="1:12" x14ac:dyDescent="0.25">
      <c r="A4" t="s">
        <v>10</v>
      </c>
      <c r="G4" s="2" t="s">
        <v>13</v>
      </c>
      <c r="I4">
        <v>2</v>
      </c>
      <c r="J4">
        <v>67.614999999999995</v>
      </c>
      <c r="K4">
        <v>878.995</v>
      </c>
      <c r="L4">
        <f>J4*L3</f>
        <v>1149.4549999999999</v>
      </c>
    </row>
    <row r="5" spans="1:12" x14ac:dyDescent="0.25">
      <c r="A5" t="s">
        <v>11</v>
      </c>
      <c r="G5" s="2" t="s">
        <v>12</v>
      </c>
      <c r="I5">
        <v>9</v>
      </c>
      <c r="K5">
        <f>K4/60</f>
        <v>14.649916666666666</v>
      </c>
      <c r="L5">
        <f>L4/60</f>
        <v>19.157583333333331</v>
      </c>
    </row>
    <row r="6" spans="1:12" x14ac:dyDescent="0.25">
      <c r="G6" s="2"/>
    </row>
    <row r="7" spans="1:12" x14ac:dyDescent="0.25">
      <c r="G7" s="2"/>
    </row>
    <row r="8" spans="1:12" x14ac:dyDescent="0.25">
      <c r="A8" t="s">
        <v>1</v>
      </c>
      <c r="B8">
        <v>1.384825</v>
      </c>
      <c r="D8">
        <v>0.88576670000000002</v>
      </c>
      <c r="E8">
        <v>1</v>
      </c>
      <c r="F8">
        <f>D8/60</f>
        <v>1.4762778333333334E-2</v>
      </c>
    </row>
    <row r="9" spans="1:12" x14ac:dyDescent="0.25">
      <c r="B9">
        <v>0.88576670000000002</v>
      </c>
      <c r="D9">
        <f>D8+B10</f>
        <v>1.8791597</v>
      </c>
      <c r="E9">
        <v>2</v>
      </c>
      <c r="F9">
        <f t="shared" ref="F9:F13" si="0">D9/60</f>
        <v>3.1319328333333334E-2</v>
      </c>
    </row>
    <row r="10" spans="1:12" x14ac:dyDescent="0.25">
      <c r="B10">
        <v>0.99339299999999997</v>
      </c>
      <c r="D10">
        <f>D9+B8</f>
        <v>3.2639847</v>
      </c>
      <c r="E10">
        <v>3</v>
      </c>
      <c r="F10">
        <f t="shared" si="0"/>
        <v>5.4399744999999999E-2</v>
      </c>
    </row>
    <row r="11" spans="1:12" x14ac:dyDescent="0.25">
      <c r="B11">
        <v>0.92235469999999997</v>
      </c>
      <c r="D11">
        <f>D10+B12</f>
        <v>4.2583251000000004</v>
      </c>
      <c r="E11">
        <v>3</v>
      </c>
      <c r="F11">
        <f t="shared" si="0"/>
        <v>7.0972085000000004E-2</v>
      </c>
    </row>
    <row r="12" spans="1:12" x14ac:dyDescent="0.25">
      <c r="B12">
        <v>0.99434040000000001</v>
      </c>
      <c r="D12">
        <f>0.35+D11</f>
        <v>4.6083251000000001</v>
      </c>
      <c r="E12">
        <v>4</v>
      </c>
      <c r="F12">
        <f t="shared" si="0"/>
        <v>7.6805418333333333E-2</v>
      </c>
    </row>
    <row r="13" spans="1:12" x14ac:dyDescent="0.25">
      <c r="C13">
        <v>5.7380098999999998</v>
      </c>
      <c r="D13">
        <f>D11+B12</f>
        <v>5.2526655000000009</v>
      </c>
      <c r="E13">
        <v>5</v>
      </c>
      <c r="F13">
        <f t="shared" si="0"/>
        <v>8.7544425000000009E-2</v>
      </c>
    </row>
    <row r="14" spans="1:12" x14ac:dyDescent="0.25">
      <c r="B14">
        <f>SUM(B8:B12)</f>
        <v>5.1806798000000001</v>
      </c>
    </row>
    <row r="15" spans="1:12" x14ac:dyDescent="0.25">
      <c r="B15">
        <f>SUM(B8:B12)</f>
        <v>5.1806798000000001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A8789</cp:lastModifiedBy>
  <dcterms:created xsi:type="dcterms:W3CDTF">2015-06-05T18:19:34Z</dcterms:created>
  <dcterms:modified xsi:type="dcterms:W3CDTF">2024-03-14T17:21:02Z</dcterms:modified>
</cp:coreProperties>
</file>